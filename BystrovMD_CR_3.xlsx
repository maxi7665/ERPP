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Гуап\ERPP\"/>
    </mc:Choice>
  </mc:AlternateContent>
  <xr:revisionPtr revIDLastSave="0" documentId="13_ncr:1_{7B9DBC48-A475-4161-AEF2-1936B0D8E249}" xr6:coauthVersionLast="45" xr6:coauthVersionMax="45" xr10:uidLastSave="{00000000-0000-0000-0000-000000000000}"/>
  <bookViews>
    <workbookView xWindow="-120" yWindow="-120" windowWidth="29040" windowHeight="15840" xr2:uid="{90B82680-5F01-493B-A9B3-F1B49166B7E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9" i="1" l="1"/>
  <c r="T79" i="1"/>
  <c r="U79" i="1"/>
  <c r="V79" i="1"/>
  <c r="W79" i="1" s="1"/>
  <c r="R79" i="1"/>
  <c r="Q79" i="1"/>
  <c r="R78" i="1"/>
  <c r="S78" i="1"/>
  <c r="T78" i="1"/>
  <c r="U78" i="1"/>
  <c r="V78" i="1"/>
  <c r="W78" i="1"/>
  <c r="Q78" i="1"/>
  <c r="R77" i="1"/>
  <c r="S77" i="1"/>
  <c r="T77" i="1"/>
  <c r="U77" i="1"/>
  <c r="V77" i="1"/>
  <c r="W77" i="1"/>
  <c r="Q77" i="1"/>
  <c r="R76" i="1"/>
  <c r="S76" i="1"/>
  <c r="T76" i="1"/>
  <c r="U76" i="1"/>
  <c r="V76" i="1"/>
  <c r="W76" i="1"/>
  <c r="Q76" i="1"/>
  <c r="S75" i="1"/>
  <c r="T75" i="1"/>
  <c r="U75" i="1"/>
  <c r="V75" i="1"/>
  <c r="W75" i="1"/>
  <c r="R75" i="1"/>
  <c r="R26" i="1"/>
  <c r="R74" i="1"/>
  <c r="S74" i="1"/>
  <c r="T74" i="1"/>
  <c r="U74" i="1"/>
  <c r="V74" i="1"/>
  <c r="W74" i="1"/>
  <c r="Q72" i="1"/>
  <c r="Q74" i="1" s="1"/>
  <c r="U72" i="1"/>
  <c r="T72" i="1"/>
  <c r="S72" i="1"/>
  <c r="R72" i="1"/>
  <c r="Q32" i="1"/>
  <c r="W66" i="1"/>
  <c r="V66" i="1"/>
  <c r="U66" i="1"/>
  <c r="T66" i="1"/>
  <c r="S66" i="1"/>
  <c r="R66" i="1"/>
  <c r="W65" i="1"/>
  <c r="V65" i="1"/>
  <c r="U65" i="1"/>
  <c r="T65" i="1"/>
  <c r="S65" i="1"/>
  <c r="R65" i="1"/>
  <c r="W64" i="1"/>
  <c r="V64" i="1"/>
  <c r="U64" i="1"/>
  <c r="T64" i="1"/>
  <c r="S64" i="1"/>
  <c r="R64" i="1"/>
  <c r="W63" i="1"/>
  <c r="V63" i="1"/>
  <c r="U63" i="1"/>
  <c r="T63" i="1"/>
  <c r="S63" i="1"/>
  <c r="R63" i="1"/>
  <c r="W62" i="1"/>
  <c r="W61" i="1" s="1"/>
  <c r="V62" i="1"/>
  <c r="V61" i="1" s="1"/>
  <c r="U62" i="1"/>
  <c r="T62" i="1"/>
  <c r="S62" i="1"/>
  <c r="S61" i="1" s="1"/>
  <c r="R62" i="1"/>
  <c r="R61" i="1" s="1"/>
  <c r="U61" i="1"/>
  <c r="U67" i="1" s="1"/>
  <c r="T61" i="1"/>
  <c r="T67" i="1" s="1"/>
  <c r="W60" i="1"/>
  <c r="W67" i="1" s="1"/>
  <c r="V60" i="1"/>
  <c r="V67" i="1" s="1"/>
  <c r="U60" i="1"/>
  <c r="T60" i="1"/>
  <c r="S60" i="1"/>
  <c r="S67" i="1" s="1"/>
  <c r="R60" i="1"/>
  <c r="R67" i="1" s="1"/>
  <c r="Q57" i="1"/>
  <c r="Q56" i="1"/>
  <c r="Q55" i="1"/>
  <c r="Q53" i="1" s="1"/>
  <c r="Q58" i="1" s="1"/>
  <c r="Q54" i="1"/>
  <c r="Q15" i="1"/>
  <c r="Q16" i="1"/>
  <c r="Q17" i="1"/>
  <c r="Q18" i="1"/>
  <c r="Q19" i="1"/>
  <c r="S22" i="1"/>
  <c r="T22" i="1"/>
  <c r="U22" i="1"/>
  <c r="V22" i="1"/>
  <c r="W22" i="1"/>
  <c r="R22" i="1"/>
  <c r="R32" i="1"/>
  <c r="S32" i="1"/>
  <c r="T32" i="1"/>
  <c r="U32" i="1"/>
  <c r="V32" i="1"/>
  <c r="W32" i="1"/>
  <c r="R35" i="1"/>
  <c r="S35" i="1"/>
  <c r="T35" i="1"/>
  <c r="U35" i="1"/>
  <c r="V35" i="1"/>
  <c r="W35" i="1"/>
  <c r="Q35" i="1"/>
  <c r="S24" i="1"/>
  <c r="T24" i="1"/>
  <c r="U24" i="1"/>
  <c r="V24" i="1"/>
  <c r="W24" i="1"/>
  <c r="S25" i="1"/>
  <c r="T25" i="1"/>
  <c r="U25" i="1"/>
  <c r="V25" i="1"/>
  <c r="W25" i="1"/>
  <c r="S27" i="1"/>
  <c r="T27" i="1"/>
  <c r="U27" i="1"/>
  <c r="V27" i="1"/>
  <c r="W27" i="1"/>
  <c r="R24" i="1"/>
  <c r="R25" i="1"/>
  <c r="R27" i="1"/>
  <c r="Q20" i="1" l="1"/>
  <c r="Q31" i="1" s="1"/>
  <c r="Q36" i="1" s="1"/>
  <c r="Q37" i="1" s="1"/>
  <c r="S26" i="1"/>
  <c r="S23" i="1" s="1"/>
  <c r="S28" i="1"/>
  <c r="R23" i="1"/>
  <c r="T26" i="1"/>
  <c r="T23" i="1" s="1"/>
  <c r="U28" i="1"/>
  <c r="W26" i="1"/>
  <c r="W23" i="1" s="1"/>
  <c r="R28" i="1"/>
  <c r="T28" i="1"/>
  <c r="V26" i="1"/>
  <c r="V23" i="1" s="1"/>
  <c r="V30" i="1" s="1"/>
  <c r="W28" i="1"/>
  <c r="U26" i="1"/>
  <c r="U23" i="1" s="1"/>
  <c r="V28" i="1"/>
  <c r="U29" i="1" l="1"/>
  <c r="T29" i="1"/>
  <c r="U30" i="1"/>
  <c r="U31" i="1" s="1"/>
  <c r="Q33" i="1"/>
  <c r="Q34" i="1" s="1"/>
  <c r="T30" i="1"/>
  <c r="T31" i="1" s="1"/>
  <c r="W30" i="1"/>
  <c r="W29" i="1"/>
  <c r="V29" i="1"/>
  <c r="V31" i="1" s="1"/>
  <c r="S29" i="1"/>
  <c r="S30" i="1"/>
  <c r="R29" i="1"/>
  <c r="R30" i="1"/>
  <c r="U36" i="1" l="1"/>
  <c r="U33" i="1"/>
  <c r="S31" i="1"/>
  <c r="S33" i="1" s="1"/>
  <c r="T36" i="1"/>
  <c r="T33" i="1"/>
  <c r="V33" i="1"/>
  <c r="V36" i="1"/>
  <c r="S36" i="1"/>
  <c r="R31" i="1"/>
  <c r="W31" i="1"/>
  <c r="R33" i="1" l="1"/>
  <c r="R34" i="1" s="1"/>
  <c r="S34" i="1" s="1"/>
  <c r="T34" i="1" s="1"/>
  <c r="R36" i="1"/>
  <c r="R37" i="1" s="1"/>
  <c r="S37" i="1" s="1"/>
  <c r="T37" i="1" s="1"/>
  <c r="U37" i="1" s="1"/>
  <c r="V37" i="1" s="1"/>
  <c r="Q42" i="1"/>
  <c r="W36" i="1"/>
  <c r="W33" i="1"/>
  <c r="W37" i="1" l="1"/>
  <c r="U34" i="1"/>
  <c r="V34" i="1" s="1"/>
  <c r="W34" i="1" s="1"/>
  <c r="Q40" i="1" s="1"/>
  <c r="Q41" i="1"/>
</calcChain>
</file>

<file path=xl/sharedStrings.xml><?xml version="1.0" encoding="utf-8"?>
<sst xmlns="http://schemas.openxmlformats.org/spreadsheetml/2006/main" count="145" uniqueCount="96">
  <si>
    <t>Исходные данные для формирования потоков платежей</t>
  </si>
  <si>
    <t>по вариантам</t>
  </si>
  <si>
    <t>Вари-</t>
  </si>
  <si>
    <t>ант</t>
  </si>
  <si>
    <t>у. е.</t>
  </si>
  <si>
    <t>№</t>
  </si>
  <si>
    <t>Наименование показателя</t>
  </si>
  <si>
    <t>Примечание</t>
  </si>
  <si>
    <t>Шаг инвестиционного проекта</t>
  </si>
  <si>
    <t>ЗА, системный анализ</t>
  </si>
  <si>
    <t>ЗП, проектирование</t>
  </si>
  <si>
    <t>ЗИ, испытания</t>
  </si>
  <si>
    <t>ЗО, инвестиции в оборотный капитал</t>
  </si>
  <si>
    <t>ОТ, оплата труда</t>
  </si>
  <si>
    <t>ЗПР, прочие и материальные затраты</t>
  </si>
  <si>
    <t>Э, жегодный ожи-
даемый доход</t>
  </si>
  <si>
    <t>К, лет полезный срок использования</t>
  </si>
  <si>
    <t>И, % уровне альтерна-
тивных издержек по инвестициям</t>
  </si>
  <si>
    <t xml:space="preserve">Инвестиции в основной капитал, в том числе </t>
  </si>
  <si>
    <t>затраты на проведение системного анализа</t>
  </si>
  <si>
    <t xml:space="preserve">затраты на проектирование ПО </t>
  </si>
  <si>
    <t>затраты на испытания и оценку</t>
  </si>
  <si>
    <t xml:space="preserve">Инвестиции в оборотный капитал </t>
  </si>
  <si>
    <t>Сальдо по инвестици-
онной деятельности</t>
  </si>
  <si>
    <t>I. Инвестиционная деятельность</t>
  </si>
  <si>
    <t>II. Операционная деятельность</t>
  </si>
  <si>
    <t xml:space="preserve">Доходы от эксплуатации ПО </t>
  </si>
  <si>
    <t>Себестоимость сопровождения и эксплуатации ПО, в том числе</t>
  </si>
  <si>
    <t>затраты на оплату труда</t>
  </si>
  <si>
    <t>страховые взносы 30%</t>
  </si>
  <si>
    <t>амортизация</t>
  </si>
  <si>
    <t>прочие затраты и материальные расходы</t>
  </si>
  <si>
    <t>Амортизация</t>
  </si>
  <si>
    <t>Сальдо по операционной деятельности</t>
  </si>
  <si>
    <t>Налог на прибыль 20%</t>
  </si>
  <si>
    <t xml:space="preserve">Суммарное сальдо по инвестиционному проекту </t>
  </si>
  <si>
    <t xml:space="preserve">Приведенное суммарное сальдо по ИП </t>
  </si>
  <si>
    <t>Приведенное накопленное суммарное сальдо по ИП нарастающим налогом</t>
  </si>
  <si>
    <t>Дисконтный множитель i = 0,67</t>
  </si>
  <si>
    <t>Приведенное суммарное сальдо по ИП</t>
  </si>
  <si>
    <t>1.1</t>
  </si>
  <si>
    <t>1.2</t>
  </si>
  <si>
    <t>1.3</t>
  </si>
  <si>
    <t>2</t>
  </si>
  <si>
    <t>3</t>
  </si>
  <si>
    <t>Денежные потоки по инвестиционному проекту</t>
  </si>
  <si>
    <t>4</t>
  </si>
  <si>
    <t>5</t>
  </si>
  <si>
    <t>5.1</t>
  </si>
  <si>
    <t>5.2</t>
  </si>
  <si>
    <t>5.3</t>
  </si>
  <si>
    <t>5.4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</si>
  <si>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</si>
  <si>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</si>
  <si>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</si>
  <si>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</si>
  <si>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</si>
  <si>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</si>
  <si>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</si>
  <si>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</si>
  <si>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</si>
  <si>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</si>
  <si>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"1.1"+"1.2"+"1.3"</t>
  </si>
  <si>
    <t>"1"/6</t>
  </si>
  <si>
    <t>"4"+"5"+"6"</t>
  </si>
  <si>
    <t>"5.1"·30%</t>
  </si>
  <si>
    <t>"5.1"+"5.2"+"5.3"+"5.4"</t>
  </si>
  <si>
    <t>"1"+"2"</t>
  </si>
  <si>
    <t>("4"+"5")·20%</t>
  </si>
  <si>
    <t>("3"+"7"+"8")</t>
  </si>
  <si>
    <t>1/(1+i)^n</t>
  </si>
  <si>
    <t>"9"·"10"</t>
  </si>
  <si>
    <t>"9"·"13"</t>
  </si>
  <si>
    <t>Срок окупаемости, г</t>
  </si>
  <si>
    <t>Чистая приведенная стоимость (1):</t>
  </si>
  <si>
    <t>Внутренняя норма доходности:</t>
  </si>
  <si>
    <t>III. Финансовая деятельность</t>
  </si>
  <si>
    <t>Собственные средства</t>
  </si>
  <si>
    <t>Заемные средства</t>
  </si>
  <si>
    <t>Возврат кредита на конец шага</t>
  </si>
  <si>
    <t>Проценты к уплате за
пользование кредитом
10%</t>
  </si>
  <si>
    <t>Возврат собственных
средств (справочно) на
конец шага</t>
  </si>
  <si>
    <t>Сальдо финансовой
деятельности</t>
  </si>
  <si>
    <t>Суммарное сальдо по
инвестиционному про-
екту</t>
  </si>
  <si>
    <t>Дисконтный множитель
i = 0,12</t>
  </si>
  <si>
    <t>Дисконтный множитель i = 0,12</t>
  </si>
  <si>
    <t xml:space="preserve">Приведенное суммарное
сальдо по ИП </t>
  </si>
  <si>
    <t>Приведенное накоплен-
ное суммарное сальдо
по ИП нарастающим
налогом</t>
  </si>
  <si>
    <t>сумма соответ-
ствует "9"</t>
  </si>
  <si>
    <t>0,1 от остатка
"9"</t>
  </si>
  <si>
    <t>сумма соответ-
ствует "8"</t>
  </si>
  <si>
    <t>"8"+"9"+"10"+
"11" +"12"</t>
  </si>
  <si>
    <t>("4"+"5"+"11")
·20%</t>
  </si>
  <si>
    <t>"15"·"16"</t>
  </si>
  <si>
    <t>"3"+"7"+
"13"+"14"</t>
  </si>
  <si>
    <t>Денежные потоки по проекту (финансовая реализуемость)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</si>
</sst>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D394-2468-4688-8CEC-8755382F3736}">
  <dimension ref="C6:X79"/>
  <sheetViews>
    <sheetView tabSelected="1" topLeftCell="A62" workbookViewId="0">
      <selection activeCell="O50" sqref="O50"/>
    </sheetView>
  </sheetViews>
  <sheetFormatPr defaultRowHeight="15" x14ac:dyDescent="0.25"/>
  <cols>
    <col min="3" max="3" width="14.85546875" customWidth="1"/>
    <col min="16" max="16" width="27" style="3" customWidth="1"/>
    <col min="24" max="24" width="15.5703125" customWidth="1"/>
  </cols>
  <sheetData>
    <row r="6" spans="3:24" x14ac:dyDescent="0.25">
      <c r="C6" s="1" t="s">
        <v>0</v>
      </c>
      <c r="D6" s="1"/>
      <c r="E6" s="1"/>
      <c r="F6" s="1"/>
      <c r="G6" s="1"/>
      <c r="H6" s="1"/>
      <c r="I6" s="1"/>
      <c r="J6" s="1"/>
      <c r="K6" s="1"/>
      <c r="L6" s="1"/>
    </row>
    <row r="7" spans="3:24" x14ac:dyDescent="0.25">
      <c r="C7" s="1" t="s">
        <v>1</v>
      </c>
      <c r="D7" s="1"/>
      <c r="E7" s="1"/>
      <c r="F7" s="1"/>
      <c r="G7" s="1"/>
      <c r="H7" s="1"/>
      <c r="I7" s="1"/>
      <c r="J7" s="1"/>
      <c r="K7" s="1"/>
      <c r="L7" s="1"/>
    </row>
    <row r="8" spans="3:24" ht="135" x14ac:dyDescent="0.25">
      <c r="C8" s="1" t="s">
        <v>2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17</v>
      </c>
      <c r="L8" s="2" t="s">
        <v>16</v>
      </c>
    </row>
    <row r="9" spans="3:24" x14ac:dyDescent="0.25">
      <c r="C9" s="1" t="s">
        <v>3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/>
      <c r="L9" s="1"/>
    </row>
    <row r="10" spans="3:24" x14ac:dyDescent="0.25">
      <c r="C10" s="1">
        <v>4</v>
      </c>
      <c r="D10" s="1">
        <v>340</v>
      </c>
      <c r="E10" s="1">
        <v>12300</v>
      </c>
      <c r="F10" s="1">
        <v>1100</v>
      </c>
      <c r="G10" s="1">
        <v>1300</v>
      </c>
      <c r="H10" s="1">
        <v>2500</v>
      </c>
      <c r="I10" s="1">
        <v>2000</v>
      </c>
      <c r="J10" s="1">
        <v>12000</v>
      </c>
      <c r="K10" s="1">
        <v>12</v>
      </c>
      <c r="L10" s="1">
        <v>6</v>
      </c>
    </row>
    <row r="11" spans="3:24" x14ac:dyDescent="0.25">
      <c r="O11" s="6" t="s">
        <v>45</v>
      </c>
      <c r="P11" s="6"/>
      <c r="Q11" s="6"/>
      <c r="R11" s="6"/>
      <c r="S11" s="6"/>
      <c r="T11" s="6"/>
      <c r="U11" s="6"/>
      <c r="V11" s="6"/>
      <c r="W11" s="6"/>
      <c r="X11" s="6"/>
    </row>
    <row r="12" spans="3:24" x14ac:dyDescent="0.25">
      <c r="O12" s="1" t="s">
        <v>5</v>
      </c>
      <c r="P12" s="2" t="s">
        <v>6</v>
      </c>
      <c r="Q12" s="4" t="s">
        <v>8</v>
      </c>
      <c r="R12" s="4"/>
      <c r="S12" s="4"/>
      <c r="T12" s="4"/>
      <c r="U12" s="4"/>
      <c r="V12" s="4"/>
      <c r="W12" s="4"/>
      <c r="X12" s="1" t="s">
        <v>7</v>
      </c>
    </row>
    <row r="13" spans="3:24" x14ac:dyDescent="0.25">
      <c r="O13" s="1"/>
      <c r="P13" s="2"/>
      <c r="Q13" s="1">
        <v>0</v>
      </c>
      <c r="R13" s="1">
        <v>1</v>
      </c>
      <c r="S13" s="1">
        <v>2</v>
      </c>
      <c r="T13" s="1">
        <v>3</v>
      </c>
      <c r="U13" s="1">
        <v>4</v>
      </c>
      <c r="V13" s="1">
        <v>5</v>
      </c>
      <c r="W13" s="1">
        <v>6</v>
      </c>
      <c r="X13" s="1"/>
    </row>
    <row r="14" spans="3:24" x14ac:dyDescent="0.25">
      <c r="O14" s="6" t="s">
        <v>24</v>
      </c>
      <c r="P14" s="6"/>
      <c r="Q14" s="6"/>
      <c r="R14" s="6"/>
      <c r="S14" s="6"/>
      <c r="T14" s="6"/>
      <c r="U14" s="6"/>
      <c r="V14" s="6"/>
      <c r="W14" s="6"/>
      <c r="X14" s="6"/>
    </row>
    <row r="15" spans="3:24" ht="30" x14ac:dyDescent="0.25">
      <c r="O15" s="5">
        <v>1</v>
      </c>
      <c r="P15" s="2" t="s">
        <v>18</v>
      </c>
      <c r="Q15" s="1">
        <f>SUM(Q16:Q18)</f>
        <v>-13740</v>
      </c>
      <c r="R15" s="1"/>
      <c r="S15" s="1"/>
      <c r="T15" s="1"/>
      <c r="U15" s="1"/>
      <c r="V15" s="1"/>
      <c r="W15" s="1"/>
      <c r="X15" s="1" t="s">
        <v>62</v>
      </c>
    </row>
    <row r="16" spans="3:24" ht="30" x14ac:dyDescent="0.25">
      <c r="O16" s="5" t="s">
        <v>40</v>
      </c>
      <c r="P16" s="2" t="s">
        <v>19</v>
      </c>
      <c r="Q16" s="1">
        <f>-$D$10</f>
        <v>-340</v>
      </c>
      <c r="R16" s="1"/>
      <c r="S16" s="1"/>
      <c r="T16" s="1"/>
      <c r="U16" s="1"/>
      <c r="V16" s="1"/>
      <c r="W16" s="1"/>
      <c r="X16" s="1"/>
    </row>
    <row r="17" spans="15:24" ht="30" x14ac:dyDescent="0.25">
      <c r="O17" s="5" t="s">
        <v>41</v>
      </c>
      <c r="P17" s="2" t="s">
        <v>20</v>
      </c>
      <c r="Q17" s="1">
        <f>-$E$10</f>
        <v>-12300</v>
      </c>
      <c r="R17" s="1"/>
      <c r="S17" s="1"/>
      <c r="T17" s="1"/>
      <c r="U17" s="1"/>
      <c r="V17" s="1"/>
      <c r="W17" s="1"/>
      <c r="X17" s="1"/>
    </row>
    <row r="18" spans="15:24" ht="30" x14ac:dyDescent="0.25">
      <c r="O18" s="5" t="s">
        <v>42</v>
      </c>
      <c r="P18" s="2" t="s">
        <v>21</v>
      </c>
      <c r="Q18" s="1">
        <f>-$F$10</f>
        <v>-1100</v>
      </c>
      <c r="R18" s="1"/>
      <c r="S18" s="1"/>
      <c r="T18" s="1"/>
      <c r="U18" s="1"/>
      <c r="V18" s="1"/>
      <c r="W18" s="1"/>
      <c r="X18" s="1"/>
    </row>
    <row r="19" spans="15:24" ht="30" x14ac:dyDescent="0.25">
      <c r="O19" s="5" t="s">
        <v>43</v>
      </c>
      <c r="P19" s="2" t="s">
        <v>22</v>
      </c>
      <c r="Q19" s="1">
        <f>-$G$10</f>
        <v>-1300</v>
      </c>
      <c r="R19" s="1"/>
      <c r="S19" s="1"/>
      <c r="T19" s="1"/>
      <c r="U19" s="1"/>
      <c r="V19" s="1"/>
      <c r="W19" s="1"/>
      <c r="X19" s="1"/>
    </row>
    <row r="20" spans="15:24" ht="30" x14ac:dyDescent="0.25">
      <c r="O20" s="5" t="s">
        <v>44</v>
      </c>
      <c r="P20" s="2" t="s">
        <v>23</v>
      </c>
      <c r="Q20" s="1">
        <f>SUM(Q15,Q19)</f>
        <v>-15040</v>
      </c>
      <c r="R20" s="1"/>
      <c r="S20" s="1"/>
      <c r="T20" s="1"/>
      <c r="U20" s="1"/>
      <c r="V20" s="1"/>
      <c r="W20" s="1"/>
      <c r="X20" s="1" t="s">
        <v>67</v>
      </c>
    </row>
    <row r="21" spans="15:24" x14ac:dyDescent="0.25">
      <c r="O21" s="6" t="s">
        <v>25</v>
      </c>
      <c r="P21" s="6"/>
      <c r="Q21" s="6"/>
      <c r="R21" s="6"/>
      <c r="S21" s="6"/>
      <c r="T21" s="6"/>
      <c r="U21" s="6"/>
      <c r="V21" s="6"/>
      <c r="W21" s="6"/>
      <c r="X21" s="6"/>
    </row>
    <row r="22" spans="15:24" ht="30" x14ac:dyDescent="0.25">
      <c r="O22" s="5" t="s">
        <v>46</v>
      </c>
      <c r="P22" s="2" t="s">
        <v>26</v>
      </c>
      <c r="Q22" s="1"/>
      <c r="R22" s="1">
        <f>$J$10</f>
        <v>12000</v>
      </c>
      <c r="S22" s="1">
        <f t="shared" ref="S22:W22" si="0">$J$10</f>
        <v>12000</v>
      </c>
      <c r="T22" s="1">
        <f t="shared" si="0"/>
        <v>12000</v>
      </c>
      <c r="U22" s="1">
        <f t="shared" si="0"/>
        <v>12000</v>
      </c>
      <c r="V22" s="1">
        <f t="shared" si="0"/>
        <v>12000</v>
      </c>
      <c r="W22" s="1">
        <f t="shared" si="0"/>
        <v>12000</v>
      </c>
      <c r="X22" s="1"/>
    </row>
    <row r="23" spans="15:24" ht="60" x14ac:dyDescent="0.25">
      <c r="O23" s="5" t="s">
        <v>47</v>
      </c>
      <c r="P23" s="2" t="s">
        <v>27</v>
      </c>
      <c r="Q23" s="1"/>
      <c r="R23" s="1">
        <f>SUM(R24:R27)</f>
        <v>-7540</v>
      </c>
      <c r="S23" s="1">
        <f t="shared" ref="S23:W23" si="1">SUM(S24:S27)</f>
        <v>-7540</v>
      </c>
      <c r="T23" s="1">
        <f t="shared" si="1"/>
        <v>-7540</v>
      </c>
      <c r="U23" s="1">
        <f t="shared" si="1"/>
        <v>-7540</v>
      </c>
      <c r="V23" s="1">
        <f t="shared" si="1"/>
        <v>-7540</v>
      </c>
      <c r="W23" s="1">
        <f t="shared" si="1"/>
        <v>-7540</v>
      </c>
      <c r="X23" s="2" t="s">
        <v>66</v>
      </c>
    </row>
    <row r="24" spans="15:24" x14ac:dyDescent="0.25">
      <c r="O24" s="5" t="s">
        <v>48</v>
      </c>
      <c r="P24" s="2" t="s">
        <v>28</v>
      </c>
      <c r="Q24" s="1"/>
      <c r="R24" s="1">
        <f>-$H$10</f>
        <v>-2500</v>
      </c>
      <c r="S24" s="1">
        <f t="shared" ref="S24:W24" si="2">-$H$10</f>
        <v>-2500</v>
      </c>
      <c r="T24" s="1">
        <f t="shared" si="2"/>
        <v>-2500</v>
      </c>
      <c r="U24" s="1">
        <f t="shared" si="2"/>
        <v>-2500</v>
      </c>
      <c r="V24" s="1">
        <f t="shared" si="2"/>
        <v>-2500</v>
      </c>
      <c r="W24" s="1">
        <f t="shared" si="2"/>
        <v>-2500</v>
      </c>
      <c r="X24" s="1"/>
    </row>
    <row r="25" spans="15:24" x14ac:dyDescent="0.25">
      <c r="O25" s="5" t="s">
        <v>49</v>
      </c>
      <c r="P25" s="2" t="s">
        <v>29</v>
      </c>
      <c r="Q25" s="1"/>
      <c r="R25" s="1">
        <f>(0.3 * $R$24)</f>
        <v>-750</v>
      </c>
      <c r="S25" s="1">
        <f t="shared" ref="S25:W25" si="3">(0.3 * $R$24)</f>
        <v>-750</v>
      </c>
      <c r="T25" s="1">
        <f t="shared" si="3"/>
        <v>-750</v>
      </c>
      <c r="U25" s="1">
        <f t="shared" si="3"/>
        <v>-750</v>
      </c>
      <c r="V25" s="1">
        <f t="shared" si="3"/>
        <v>-750</v>
      </c>
      <c r="W25" s="1">
        <f t="shared" si="3"/>
        <v>-750</v>
      </c>
      <c r="X25" s="1" t="s">
        <v>65</v>
      </c>
    </row>
    <row r="26" spans="15:24" x14ac:dyDescent="0.25">
      <c r="O26" s="5" t="s">
        <v>50</v>
      </c>
      <c r="P26" s="2" t="s">
        <v>30</v>
      </c>
      <c r="Q26" s="1"/>
      <c r="R26" s="1">
        <f>$Q$15/$L$10</f>
        <v>-2290</v>
      </c>
      <c r="S26" s="1">
        <f t="shared" ref="S26:W26" si="4">$Q$15/$L$10</f>
        <v>-2290</v>
      </c>
      <c r="T26" s="1">
        <f t="shared" si="4"/>
        <v>-2290</v>
      </c>
      <c r="U26" s="1">
        <f t="shared" si="4"/>
        <v>-2290</v>
      </c>
      <c r="V26" s="1">
        <f t="shared" si="4"/>
        <v>-2290</v>
      </c>
      <c r="W26" s="1">
        <f t="shared" si="4"/>
        <v>-2290</v>
      </c>
      <c r="X26" s="1" t="s">
        <v>63</v>
      </c>
    </row>
    <row r="27" spans="15:24" ht="30" x14ac:dyDescent="0.25">
      <c r="O27" s="5" t="s">
        <v>51</v>
      </c>
      <c r="P27" s="2" t="s">
        <v>31</v>
      </c>
      <c r="Q27" s="1"/>
      <c r="R27" s="1">
        <f>-$I$10</f>
        <v>-2000</v>
      </c>
      <c r="S27" s="1">
        <f t="shared" ref="S27:W27" si="5">-$I$10</f>
        <v>-2000</v>
      </c>
      <c r="T27" s="1">
        <f t="shared" si="5"/>
        <v>-2000</v>
      </c>
      <c r="U27" s="1">
        <f t="shared" si="5"/>
        <v>-2000</v>
      </c>
      <c r="V27" s="1">
        <f t="shared" si="5"/>
        <v>-2000</v>
      </c>
      <c r="W27" s="1">
        <f t="shared" si="5"/>
        <v>-2000</v>
      </c>
      <c r="X27" s="1"/>
    </row>
    <row r="28" spans="15:24" x14ac:dyDescent="0.25">
      <c r="O28" s="5" t="s">
        <v>52</v>
      </c>
      <c r="P28" s="2" t="s">
        <v>32</v>
      </c>
      <c r="Q28" s="1"/>
      <c r="R28" s="1">
        <f>-$Q$15/$L$10</f>
        <v>2290</v>
      </c>
      <c r="S28" s="1">
        <f t="shared" ref="S28:W28" si="6">-$Q$15/$L$10</f>
        <v>2290</v>
      </c>
      <c r="T28" s="1">
        <f t="shared" si="6"/>
        <v>2290</v>
      </c>
      <c r="U28" s="1">
        <f t="shared" si="6"/>
        <v>2290</v>
      </c>
      <c r="V28" s="1">
        <f t="shared" si="6"/>
        <v>2290</v>
      </c>
      <c r="W28" s="1">
        <f t="shared" si="6"/>
        <v>2290</v>
      </c>
      <c r="X28" s="1"/>
    </row>
    <row r="29" spans="15:24" ht="30" x14ac:dyDescent="0.25">
      <c r="O29" s="5" t="s">
        <v>53</v>
      </c>
      <c r="P29" s="2" t="s">
        <v>33</v>
      </c>
      <c r="Q29" s="1"/>
      <c r="R29" s="1">
        <f>R22+R23+R28</f>
        <v>6750</v>
      </c>
      <c r="S29" s="1">
        <f t="shared" ref="S29:W29" si="7">S22+S23+S28</f>
        <v>6750</v>
      </c>
      <c r="T29" s="1">
        <f t="shared" si="7"/>
        <v>6750</v>
      </c>
      <c r="U29" s="1">
        <f t="shared" si="7"/>
        <v>6750</v>
      </c>
      <c r="V29" s="1">
        <f t="shared" si="7"/>
        <v>6750</v>
      </c>
      <c r="W29" s="1">
        <f t="shared" si="7"/>
        <v>6750</v>
      </c>
      <c r="X29" s="1" t="s">
        <v>64</v>
      </c>
    </row>
    <row r="30" spans="15:24" x14ac:dyDescent="0.25">
      <c r="O30" s="5" t="s">
        <v>54</v>
      </c>
      <c r="P30" s="2" t="s">
        <v>34</v>
      </c>
      <c r="Q30" s="1"/>
      <c r="R30" s="1">
        <f>-(R22+R23)*0.2</f>
        <v>-892</v>
      </c>
      <c r="S30" s="1">
        <f t="shared" ref="S30:W30" si="8">-(S22+S23)*0.2</f>
        <v>-892</v>
      </c>
      <c r="T30" s="1">
        <f t="shared" si="8"/>
        <v>-892</v>
      </c>
      <c r="U30" s="1">
        <f t="shared" si="8"/>
        <v>-892</v>
      </c>
      <c r="V30" s="1">
        <f t="shared" si="8"/>
        <v>-892</v>
      </c>
      <c r="W30" s="1">
        <f t="shared" si="8"/>
        <v>-892</v>
      </c>
      <c r="X30" s="1" t="s">
        <v>68</v>
      </c>
    </row>
    <row r="31" spans="15:24" ht="30" x14ac:dyDescent="0.25">
      <c r="O31" s="5" t="s">
        <v>55</v>
      </c>
      <c r="P31" s="2" t="s">
        <v>35</v>
      </c>
      <c r="Q31" s="1">
        <f>Q20+Q29+Q30</f>
        <v>-15040</v>
      </c>
      <c r="R31" s="1">
        <f t="shared" ref="R31:W31" si="9">R20+R29+R30</f>
        <v>5858</v>
      </c>
      <c r="S31" s="1">
        <f t="shared" si="9"/>
        <v>5858</v>
      </c>
      <c r="T31" s="1">
        <f t="shared" si="9"/>
        <v>5858</v>
      </c>
      <c r="U31" s="1">
        <f t="shared" si="9"/>
        <v>5858</v>
      </c>
      <c r="V31" s="1">
        <f t="shared" si="9"/>
        <v>5858</v>
      </c>
      <c r="W31" s="1">
        <f t="shared" si="9"/>
        <v>5858</v>
      </c>
      <c r="X31" s="1" t="s">
        <v>69</v>
      </c>
    </row>
    <row r="32" spans="15:24" ht="30" x14ac:dyDescent="0.25">
      <c r="O32" s="5" t="s">
        <v>56</v>
      </c>
      <c r="P32" s="2" t="s">
        <v>85</v>
      </c>
      <c r="Q32" s="1">
        <f>1/(1+$K$10/100)^Q13</f>
        <v>1</v>
      </c>
      <c r="R32" s="1">
        <f t="shared" ref="R32:W32" si="10">1/(1+$K$10/100)^R13</f>
        <v>0.89285714285714279</v>
      </c>
      <c r="S32" s="1">
        <f t="shared" si="10"/>
        <v>0.79719387755102034</v>
      </c>
      <c r="T32" s="1">
        <f t="shared" si="10"/>
        <v>0.71178024781341087</v>
      </c>
      <c r="U32" s="1">
        <f t="shared" si="10"/>
        <v>0.63551807840483121</v>
      </c>
      <c r="V32" s="1">
        <f t="shared" si="10"/>
        <v>0.56742685571859919</v>
      </c>
      <c r="W32" s="1">
        <f t="shared" si="10"/>
        <v>0.50663112117732068</v>
      </c>
      <c r="X32" s="1" t="s">
        <v>70</v>
      </c>
    </row>
    <row r="33" spans="15:24" ht="30" x14ac:dyDescent="0.25">
      <c r="O33" s="5" t="s">
        <v>57</v>
      </c>
      <c r="P33" s="2" t="s">
        <v>36</v>
      </c>
      <c r="Q33" s="1">
        <f>Q31*Q32</f>
        <v>-15040</v>
      </c>
      <c r="R33" s="1">
        <f t="shared" ref="R33:W33" si="11">R31*R32</f>
        <v>5230.3571428571422</v>
      </c>
      <c r="S33" s="1">
        <f t="shared" si="11"/>
        <v>4669.9617346938767</v>
      </c>
      <c r="T33" s="1">
        <f t="shared" si="11"/>
        <v>4169.6086916909608</v>
      </c>
      <c r="U33" s="1">
        <f t="shared" si="11"/>
        <v>3722.8649032955013</v>
      </c>
      <c r="V33" s="1">
        <f t="shared" si="11"/>
        <v>3323.986520799554</v>
      </c>
      <c r="W33" s="1">
        <f t="shared" si="11"/>
        <v>2967.8451078567446</v>
      </c>
      <c r="X33" s="1" t="s">
        <v>71</v>
      </c>
    </row>
    <row r="34" spans="15:24" ht="45" x14ac:dyDescent="0.25">
      <c r="O34" s="5" t="s">
        <v>58</v>
      </c>
      <c r="P34" s="2" t="s">
        <v>37</v>
      </c>
      <c r="Q34" s="1">
        <f>Q33</f>
        <v>-15040</v>
      </c>
      <c r="R34" s="1">
        <f>Q34+R33</f>
        <v>-9809.6428571428587</v>
      </c>
      <c r="S34" s="1">
        <f t="shared" ref="S34:W34" si="12">R34+S33</f>
        <v>-5139.681122448982</v>
      </c>
      <c r="T34" s="1">
        <f t="shared" si="12"/>
        <v>-970.07243075802126</v>
      </c>
      <c r="U34" s="1">
        <f t="shared" si="12"/>
        <v>2752.7924725374801</v>
      </c>
      <c r="V34" s="1">
        <f t="shared" si="12"/>
        <v>6076.7789933370341</v>
      </c>
      <c r="W34" s="1">
        <f t="shared" si="12"/>
        <v>9044.6241011937782</v>
      </c>
      <c r="X34" s="1"/>
    </row>
    <row r="35" spans="15:24" ht="30" hidden="1" x14ac:dyDescent="0.25">
      <c r="O35" s="5" t="s">
        <v>59</v>
      </c>
      <c r="P35" s="2" t="s">
        <v>38</v>
      </c>
      <c r="Q35" s="7">
        <f>1/(1+0.67)^Q13</f>
        <v>1</v>
      </c>
      <c r="R35" s="7">
        <f t="shared" ref="R35:W35" si="13">1/(1+0.67)^R13</f>
        <v>0.5988023952095809</v>
      </c>
      <c r="S35" s="7">
        <f t="shared" si="13"/>
        <v>0.35856430850873106</v>
      </c>
      <c r="T35" s="7">
        <f t="shared" si="13"/>
        <v>0.21470916677169524</v>
      </c>
      <c r="U35" s="7">
        <f t="shared" si="13"/>
        <v>0.12856836333634447</v>
      </c>
      <c r="V35" s="7">
        <f t="shared" si="13"/>
        <v>7.6987043913978717E-2</v>
      </c>
      <c r="W35" s="7">
        <f t="shared" si="13"/>
        <v>4.610002629579564E-2</v>
      </c>
      <c r="X35" s="1" t="s">
        <v>70</v>
      </c>
    </row>
    <row r="36" spans="15:24" ht="30" hidden="1" x14ac:dyDescent="0.25">
      <c r="O36" s="5" t="s">
        <v>60</v>
      </c>
      <c r="P36" s="2" t="s">
        <v>39</v>
      </c>
      <c r="Q36" s="1">
        <f>Q31*Q35</f>
        <v>-15040</v>
      </c>
      <c r="R36" s="1">
        <f t="shared" ref="R36:W36" si="14">R31*R35</f>
        <v>3507.7844311377248</v>
      </c>
      <c r="S36" s="1">
        <f t="shared" si="14"/>
        <v>2100.4697192441467</v>
      </c>
      <c r="T36" s="1">
        <f t="shared" si="14"/>
        <v>1257.7662989485907</v>
      </c>
      <c r="U36" s="1">
        <f t="shared" si="14"/>
        <v>753.15347242430596</v>
      </c>
      <c r="V36" s="1">
        <f t="shared" si="14"/>
        <v>450.99010324808734</v>
      </c>
      <c r="W36" s="1">
        <f t="shared" si="14"/>
        <v>270.05395404077086</v>
      </c>
      <c r="X36" s="1" t="s">
        <v>72</v>
      </c>
    </row>
    <row r="37" spans="15:24" ht="45" hidden="1" x14ac:dyDescent="0.25">
      <c r="O37" s="5" t="s">
        <v>61</v>
      </c>
      <c r="P37" s="2" t="s">
        <v>37</v>
      </c>
      <c r="Q37" s="1">
        <f>Q36</f>
        <v>-15040</v>
      </c>
      <c r="R37" s="1">
        <f>Q37+R36</f>
        <v>-11532.215568862275</v>
      </c>
      <c r="S37" s="1">
        <f t="shared" ref="S37:W37" si="15">R37+S36</f>
        <v>-9431.745849618128</v>
      </c>
      <c r="T37" s="1">
        <f t="shared" si="15"/>
        <v>-8173.9795506695373</v>
      </c>
      <c r="U37" s="1">
        <f t="shared" si="15"/>
        <v>-7420.8260782452317</v>
      </c>
      <c r="V37" s="1">
        <f t="shared" si="15"/>
        <v>-6969.8359749971441</v>
      </c>
      <c r="W37" s="1">
        <f t="shared" si="15"/>
        <v>-6699.7820209563733</v>
      </c>
      <c r="X37" s="1"/>
    </row>
    <row r="40" spans="15:24" ht="30" x14ac:dyDescent="0.25">
      <c r="P40" s="2" t="s">
        <v>74</v>
      </c>
      <c r="Q40" s="1">
        <f>W34</f>
        <v>9044.6241011937782</v>
      </c>
    </row>
    <row r="41" spans="15:24" x14ac:dyDescent="0.25">
      <c r="P41" s="2" t="s">
        <v>73</v>
      </c>
      <c r="Q41" s="1">
        <f>3+(-T34/U33)</f>
        <v>3.2605714835097315</v>
      </c>
    </row>
    <row r="42" spans="15:24" ht="30" x14ac:dyDescent="0.25">
      <c r="P42" s="2" t="s">
        <v>75</v>
      </c>
      <c r="Q42" s="8">
        <f>IRR(Q31:W31)</f>
        <v>0.31373052600991813</v>
      </c>
    </row>
    <row r="49" spans="15:24" x14ac:dyDescent="0.25">
      <c r="O49" s="6" t="s">
        <v>95</v>
      </c>
      <c r="P49" s="6"/>
      <c r="Q49" s="6"/>
      <c r="R49" s="6"/>
      <c r="S49" s="6"/>
      <c r="T49" s="6"/>
      <c r="U49" s="6"/>
      <c r="V49" s="6"/>
      <c r="W49" s="6"/>
      <c r="X49" s="6"/>
    </row>
    <row r="50" spans="15:24" x14ac:dyDescent="0.25">
      <c r="O50" s="1" t="s">
        <v>5</v>
      </c>
      <c r="P50" s="2" t="s">
        <v>6</v>
      </c>
      <c r="Q50" s="4" t="s">
        <v>8</v>
      </c>
      <c r="R50" s="4"/>
      <c r="S50" s="4"/>
      <c r="T50" s="4"/>
      <c r="U50" s="4"/>
      <c r="V50" s="4"/>
      <c r="W50" s="4"/>
      <c r="X50" s="1" t="s">
        <v>7</v>
      </c>
    </row>
    <row r="51" spans="15:24" x14ac:dyDescent="0.25">
      <c r="O51" s="1"/>
      <c r="P51" s="2"/>
      <c r="Q51" s="1">
        <v>0</v>
      </c>
      <c r="R51" s="1">
        <v>1</v>
      </c>
      <c r="S51" s="1">
        <v>2</v>
      </c>
      <c r="T51" s="1">
        <v>3</v>
      </c>
      <c r="U51" s="1">
        <v>4</v>
      </c>
      <c r="V51" s="1">
        <v>5</v>
      </c>
      <c r="W51" s="1">
        <v>6</v>
      </c>
      <c r="X51" s="1"/>
    </row>
    <row r="52" spans="15:24" x14ac:dyDescent="0.25">
      <c r="O52" s="6" t="s">
        <v>24</v>
      </c>
      <c r="P52" s="6"/>
      <c r="Q52" s="6"/>
      <c r="R52" s="6"/>
      <c r="S52" s="6"/>
      <c r="T52" s="6"/>
      <c r="U52" s="6"/>
      <c r="V52" s="6"/>
      <c r="W52" s="6"/>
      <c r="X52" s="6"/>
    </row>
    <row r="53" spans="15:24" ht="30" x14ac:dyDescent="0.25">
      <c r="O53" s="5">
        <v>1</v>
      </c>
      <c r="P53" s="2" t="s">
        <v>18</v>
      </c>
      <c r="Q53" s="1">
        <f>SUM(Q54:Q56)</f>
        <v>-13740</v>
      </c>
      <c r="R53" s="1"/>
      <c r="S53" s="1"/>
      <c r="T53" s="1"/>
      <c r="U53" s="1"/>
      <c r="V53" s="1"/>
      <c r="W53" s="1"/>
      <c r="X53" s="1" t="s">
        <v>62</v>
      </c>
    </row>
    <row r="54" spans="15:24" ht="30" x14ac:dyDescent="0.25">
      <c r="O54" s="5" t="s">
        <v>40</v>
      </c>
      <c r="P54" s="2" t="s">
        <v>19</v>
      </c>
      <c r="Q54" s="1">
        <f>-$D$10</f>
        <v>-340</v>
      </c>
      <c r="R54" s="1"/>
      <c r="S54" s="1"/>
      <c r="T54" s="1"/>
      <c r="U54" s="1"/>
      <c r="V54" s="1"/>
      <c r="W54" s="1"/>
      <c r="X54" s="1"/>
    </row>
    <row r="55" spans="15:24" ht="30" x14ac:dyDescent="0.25">
      <c r="O55" s="5" t="s">
        <v>41</v>
      </c>
      <c r="P55" s="2" t="s">
        <v>20</v>
      </c>
      <c r="Q55" s="1">
        <f>-$E$10</f>
        <v>-12300</v>
      </c>
      <c r="R55" s="1"/>
      <c r="S55" s="1"/>
      <c r="T55" s="1"/>
      <c r="U55" s="1"/>
      <c r="V55" s="1"/>
      <c r="W55" s="1"/>
      <c r="X55" s="1"/>
    </row>
    <row r="56" spans="15:24" ht="30" x14ac:dyDescent="0.25">
      <c r="O56" s="5" t="s">
        <v>42</v>
      </c>
      <c r="P56" s="2" t="s">
        <v>21</v>
      </c>
      <c r="Q56" s="1">
        <f>-$F$10</f>
        <v>-1100</v>
      </c>
      <c r="R56" s="1"/>
      <c r="S56" s="1"/>
      <c r="T56" s="1"/>
      <c r="U56" s="1"/>
      <c r="V56" s="1"/>
      <c r="W56" s="1"/>
      <c r="X56" s="1"/>
    </row>
    <row r="57" spans="15:24" ht="30" x14ac:dyDescent="0.25">
      <c r="O57" s="5" t="s">
        <v>43</v>
      </c>
      <c r="P57" s="2" t="s">
        <v>22</v>
      </c>
      <c r="Q57" s="1">
        <f>-$G$10</f>
        <v>-1300</v>
      </c>
      <c r="R57" s="1"/>
      <c r="S57" s="1"/>
      <c r="T57" s="1"/>
      <c r="U57" s="1"/>
      <c r="V57" s="1"/>
      <c r="W57" s="1"/>
      <c r="X57" s="1"/>
    </row>
    <row r="58" spans="15:24" ht="30" x14ac:dyDescent="0.25">
      <c r="O58" s="5" t="s">
        <v>44</v>
      </c>
      <c r="P58" s="2" t="s">
        <v>23</v>
      </c>
      <c r="Q58" s="1">
        <f>SUM(Q53,Q57)</f>
        <v>-15040</v>
      </c>
      <c r="R58" s="1"/>
      <c r="S58" s="1"/>
      <c r="T58" s="1"/>
      <c r="U58" s="1"/>
      <c r="V58" s="1"/>
      <c r="W58" s="1"/>
      <c r="X58" s="1" t="s">
        <v>67</v>
      </c>
    </row>
    <row r="59" spans="15:24" x14ac:dyDescent="0.25">
      <c r="O59" s="6" t="s">
        <v>25</v>
      </c>
      <c r="P59" s="6"/>
      <c r="Q59" s="6"/>
      <c r="R59" s="6"/>
      <c r="S59" s="6"/>
      <c r="T59" s="6"/>
      <c r="U59" s="6"/>
      <c r="V59" s="6"/>
      <c r="W59" s="6"/>
      <c r="X59" s="6"/>
    </row>
    <row r="60" spans="15:24" ht="30" x14ac:dyDescent="0.25">
      <c r="O60" s="5" t="s">
        <v>46</v>
      </c>
      <c r="P60" s="2" t="s">
        <v>26</v>
      </c>
      <c r="Q60" s="1"/>
      <c r="R60" s="1">
        <f>$J$10</f>
        <v>12000</v>
      </c>
      <c r="S60" s="1">
        <f t="shared" ref="S60:W60" si="16">$J$10</f>
        <v>12000</v>
      </c>
      <c r="T60" s="1">
        <f t="shared" si="16"/>
        <v>12000</v>
      </c>
      <c r="U60" s="1">
        <f t="shared" si="16"/>
        <v>12000</v>
      </c>
      <c r="V60" s="1">
        <f t="shared" si="16"/>
        <v>12000</v>
      </c>
      <c r="W60" s="1">
        <f t="shared" si="16"/>
        <v>12000</v>
      </c>
      <c r="X60" s="1"/>
    </row>
    <row r="61" spans="15:24" ht="60" x14ac:dyDescent="0.25">
      <c r="O61" s="5" t="s">
        <v>47</v>
      </c>
      <c r="P61" s="2" t="s">
        <v>27</v>
      </c>
      <c r="Q61" s="1"/>
      <c r="R61" s="1">
        <f>SUM(R62:R65)</f>
        <v>-7540</v>
      </c>
      <c r="S61" s="1">
        <f t="shared" ref="S61" si="17">SUM(S62:S65)</f>
        <v>-7540</v>
      </c>
      <c r="T61" s="1">
        <f t="shared" ref="T61" si="18">SUM(T62:T65)</f>
        <v>-7540</v>
      </c>
      <c r="U61" s="1">
        <f t="shared" ref="U61" si="19">SUM(U62:U65)</f>
        <v>-7540</v>
      </c>
      <c r="V61" s="1">
        <f t="shared" ref="V61" si="20">SUM(V62:V65)</f>
        <v>-7540</v>
      </c>
      <c r="W61" s="1">
        <f t="shared" ref="W61" si="21">SUM(W62:W65)</f>
        <v>-7540</v>
      </c>
      <c r="X61" s="2" t="s">
        <v>66</v>
      </c>
    </row>
    <row r="62" spans="15:24" x14ac:dyDescent="0.25">
      <c r="O62" s="5" t="s">
        <v>48</v>
      </c>
      <c r="P62" s="2" t="s">
        <v>28</v>
      </c>
      <c r="Q62" s="1"/>
      <c r="R62" s="1">
        <f>-$H$10</f>
        <v>-2500</v>
      </c>
      <c r="S62" s="1">
        <f t="shared" ref="S62:W62" si="22">-$H$10</f>
        <v>-2500</v>
      </c>
      <c r="T62" s="1">
        <f t="shared" si="22"/>
        <v>-2500</v>
      </c>
      <c r="U62" s="1">
        <f t="shared" si="22"/>
        <v>-2500</v>
      </c>
      <c r="V62" s="1">
        <f t="shared" si="22"/>
        <v>-2500</v>
      </c>
      <c r="W62" s="1">
        <f t="shared" si="22"/>
        <v>-2500</v>
      </c>
      <c r="X62" s="1"/>
    </row>
    <row r="63" spans="15:24" x14ac:dyDescent="0.25">
      <c r="O63" s="5" t="s">
        <v>49</v>
      </c>
      <c r="P63" s="2" t="s">
        <v>29</v>
      </c>
      <c r="Q63" s="1"/>
      <c r="R63" s="1">
        <f>(0.3 * $R$24)</f>
        <v>-750</v>
      </c>
      <c r="S63" s="1">
        <f t="shared" ref="S63:W63" si="23">(0.3 * $R$24)</f>
        <v>-750</v>
      </c>
      <c r="T63" s="1">
        <f t="shared" si="23"/>
        <v>-750</v>
      </c>
      <c r="U63" s="1">
        <f t="shared" si="23"/>
        <v>-750</v>
      </c>
      <c r="V63" s="1">
        <f t="shared" si="23"/>
        <v>-750</v>
      </c>
      <c r="W63" s="1">
        <f t="shared" si="23"/>
        <v>-750</v>
      </c>
      <c r="X63" s="1" t="s">
        <v>65</v>
      </c>
    </row>
    <row r="64" spans="15:24" x14ac:dyDescent="0.25">
      <c r="O64" s="5" t="s">
        <v>50</v>
      </c>
      <c r="P64" s="2" t="s">
        <v>30</v>
      </c>
      <c r="Q64" s="1"/>
      <c r="R64" s="1">
        <f>$Q$15/$L$10</f>
        <v>-2290</v>
      </c>
      <c r="S64" s="1">
        <f t="shared" ref="S64:W64" si="24">$Q$15/$L$10</f>
        <v>-2290</v>
      </c>
      <c r="T64" s="1">
        <f t="shared" si="24"/>
        <v>-2290</v>
      </c>
      <c r="U64" s="1">
        <f t="shared" si="24"/>
        <v>-2290</v>
      </c>
      <c r="V64" s="1">
        <f t="shared" si="24"/>
        <v>-2290</v>
      </c>
      <c r="W64" s="1">
        <f t="shared" si="24"/>
        <v>-2290</v>
      </c>
      <c r="X64" s="1" t="s">
        <v>63</v>
      </c>
    </row>
    <row r="65" spans="15:24" ht="30" x14ac:dyDescent="0.25">
      <c r="O65" s="5" t="s">
        <v>51</v>
      </c>
      <c r="P65" s="2" t="s">
        <v>31</v>
      </c>
      <c r="Q65" s="1"/>
      <c r="R65" s="1">
        <f>-$I$10</f>
        <v>-2000</v>
      </c>
      <c r="S65" s="1">
        <f t="shared" ref="S65:W65" si="25">-$I$10</f>
        <v>-2000</v>
      </c>
      <c r="T65" s="1">
        <f t="shared" si="25"/>
        <v>-2000</v>
      </c>
      <c r="U65" s="1">
        <f t="shared" si="25"/>
        <v>-2000</v>
      </c>
      <c r="V65" s="1">
        <f t="shared" si="25"/>
        <v>-2000</v>
      </c>
      <c r="W65" s="1">
        <f t="shared" si="25"/>
        <v>-2000</v>
      </c>
      <c r="X65" s="1"/>
    </row>
    <row r="66" spans="15:24" x14ac:dyDescent="0.25">
      <c r="O66" s="5" t="s">
        <v>52</v>
      </c>
      <c r="P66" s="2" t="s">
        <v>32</v>
      </c>
      <c r="Q66" s="1"/>
      <c r="R66" s="1">
        <f>-$Q$15/$L$10</f>
        <v>2290</v>
      </c>
      <c r="S66" s="1">
        <f t="shared" ref="S66:W66" si="26">-$Q$15/$L$10</f>
        <v>2290</v>
      </c>
      <c r="T66" s="1">
        <f t="shared" si="26"/>
        <v>2290</v>
      </c>
      <c r="U66" s="1">
        <f t="shared" si="26"/>
        <v>2290</v>
      </c>
      <c r="V66" s="1">
        <f t="shared" si="26"/>
        <v>2290</v>
      </c>
      <c r="W66" s="1">
        <f t="shared" si="26"/>
        <v>2290</v>
      </c>
      <c r="X66" s="1"/>
    </row>
    <row r="67" spans="15:24" ht="30" x14ac:dyDescent="0.25">
      <c r="O67" s="5" t="s">
        <v>53</v>
      </c>
      <c r="P67" s="2" t="s">
        <v>33</v>
      </c>
      <c r="Q67" s="1"/>
      <c r="R67" s="1">
        <f>R60+R61+R66</f>
        <v>6750</v>
      </c>
      <c r="S67" s="1">
        <f t="shared" ref="S67" si="27">S60+S61+S66</f>
        <v>6750</v>
      </c>
      <c r="T67" s="1">
        <f t="shared" ref="T67" si="28">T60+T61+T66</f>
        <v>6750</v>
      </c>
      <c r="U67" s="1">
        <f t="shared" ref="U67" si="29">U60+U61+U66</f>
        <v>6750</v>
      </c>
      <c r="V67" s="1">
        <f t="shared" ref="V67" si="30">V60+V61+V66</f>
        <v>6750</v>
      </c>
      <c r="W67" s="1">
        <f t="shared" ref="W67" si="31">W60+W61+W66</f>
        <v>6750</v>
      </c>
      <c r="X67" s="1" t="s">
        <v>64</v>
      </c>
    </row>
    <row r="68" spans="15:24" x14ac:dyDescent="0.25">
      <c r="O68" s="6" t="s">
        <v>76</v>
      </c>
      <c r="P68" s="6"/>
      <c r="Q68" s="6"/>
      <c r="R68" s="6"/>
      <c r="S68" s="6"/>
      <c r="T68" s="6"/>
      <c r="U68" s="6"/>
      <c r="V68" s="6"/>
      <c r="W68" s="6"/>
      <c r="X68" s="6"/>
    </row>
    <row r="69" spans="15:24" x14ac:dyDescent="0.25">
      <c r="O69" s="5">
        <v>8</v>
      </c>
      <c r="P69" s="2" t="s">
        <v>77</v>
      </c>
      <c r="Q69" s="1">
        <v>5000</v>
      </c>
      <c r="R69" s="1"/>
      <c r="S69" s="1"/>
      <c r="T69" s="1"/>
      <c r="U69" s="1"/>
      <c r="V69" s="1"/>
      <c r="W69" s="1"/>
      <c r="X69" s="1"/>
    </row>
    <row r="70" spans="15:24" x14ac:dyDescent="0.25">
      <c r="O70" s="5">
        <v>9</v>
      </c>
      <c r="P70" s="2" t="s">
        <v>78</v>
      </c>
      <c r="Q70" s="1">
        <v>15000</v>
      </c>
      <c r="R70" s="1"/>
      <c r="S70" s="1"/>
      <c r="T70" s="1"/>
      <c r="U70" s="1"/>
      <c r="V70" s="1"/>
      <c r="W70" s="1"/>
      <c r="X70" s="1"/>
    </row>
    <row r="71" spans="15:24" ht="30" x14ac:dyDescent="0.25">
      <c r="O71" s="5">
        <v>10</v>
      </c>
      <c r="P71" s="2" t="s">
        <v>79</v>
      </c>
      <c r="Q71" s="1"/>
      <c r="R71" s="1">
        <v>-3750</v>
      </c>
      <c r="S71" s="1">
        <v>-3750</v>
      </c>
      <c r="T71" s="1">
        <v>-3750</v>
      </c>
      <c r="U71" s="1">
        <v>-3750</v>
      </c>
      <c r="V71" s="1"/>
      <c r="W71" s="1"/>
      <c r="X71" s="2" t="s">
        <v>88</v>
      </c>
    </row>
    <row r="72" spans="15:24" ht="45" x14ac:dyDescent="0.25">
      <c r="O72" s="5">
        <v>11</v>
      </c>
      <c r="P72" s="2" t="s">
        <v>80</v>
      </c>
      <c r="Q72" s="1">
        <f>-0.1*Q70</f>
        <v>-1500</v>
      </c>
      <c r="R72" s="1">
        <f>-0.1*($Q$70)</f>
        <v>-1500</v>
      </c>
      <c r="S72" s="1">
        <f>-0.1*($Q$70+SUM(R71))</f>
        <v>-1125</v>
      </c>
      <c r="T72" s="1">
        <f>-0.1*($Q$70+SUM(R71:S71))</f>
        <v>-750</v>
      </c>
      <c r="U72" s="1">
        <f>-0.1*($Q$70+SUM(R71:T71))</f>
        <v>-375</v>
      </c>
      <c r="V72" s="1"/>
      <c r="W72" s="1"/>
      <c r="X72" s="2" t="s">
        <v>89</v>
      </c>
    </row>
    <row r="73" spans="15:24" ht="45" x14ac:dyDescent="0.25">
      <c r="O73" s="5">
        <v>12</v>
      </c>
      <c r="P73" s="2" t="s">
        <v>81</v>
      </c>
      <c r="Q73" s="1"/>
      <c r="R73" s="1"/>
      <c r="S73" s="1"/>
      <c r="T73" s="1">
        <v>-1000</v>
      </c>
      <c r="U73" s="1">
        <v>-1000</v>
      </c>
      <c r="V73" s="1">
        <v>-1500</v>
      </c>
      <c r="W73" s="1">
        <v>-1500</v>
      </c>
      <c r="X73" s="2" t="s">
        <v>90</v>
      </c>
    </row>
    <row r="74" spans="15:24" ht="30" x14ac:dyDescent="0.25">
      <c r="O74" s="5">
        <v>13</v>
      </c>
      <c r="P74" s="2" t="s">
        <v>82</v>
      </c>
      <c r="Q74" s="1">
        <f>SUM(Q69:Q73)</f>
        <v>18500</v>
      </c>
      <c r="R74" s="1">
        <f t="shared" ref="R74:W74" si="32">SUM(R69:R73)</f>
        <v>-5250</v>
      </c>
      <c r="S74" s="1">
        <f t="shared" si="32"/>
        <v>-4875</v>
      </c>
      <c r="T74" s="1">
        <f t="shared" si="32"/>
        <v>-5500</v>
      </c>
      <c r="U74" s="1">
        <f t="shared" si="32"/>
        <v>-5125</v>
      </c>
      <c r="V74" s="1">
        <f t="shared" si="32"/>
        <v>-1500</v>
      </c>
      <c r="W74" s="1">
        <f t="shared" si="32"/>
        <v>-1500</v>
      </c>
      <c r="X74" s="2" t="s">
        <v>91</v>
      </c>
    </row>
    <row r="75" spans="15:24" ht="30" x14ac:dyDescent="0.25">
      <c r="O75" s="5">
        <v>14</v>
      </c>
      <c r="P75" s="2" t="s">
        <v>34</v>
      </c>
      <c r="Q75" s="1"/>
      <c r="R75" s="1">
        <f>-SUM(R60,R61,R72)*0.2</f>
        <v>-592</v>
      </c>
      <c r="S75" s="1">
        <f t="shared" ref="S75:W75" si="33">-SUM(S60,S61,S72)*0.2</f>
        <v>-667</v>
      </c>
      <c r="T75" s="1">
        <f t="shared" si="33"/>
        <v>-742</v>
      </c>
      <c r="U75" s="1">
        <f t="shared" si="33"/>
        <v>-817</v>
      </c>
      <c r="V75" s="1">
        <f t="shared" si="33"/>
        <v>-892</v>
      </c>
      <c r="W75" s="1">
        <f t="shared" si="33"/>
        <v>-892</v>
      </c>
      <c r="X75" s="2" t="s">
        <v>92</v>
      </c>
    </row>
    <row r="76" spans="15:24" ht="45" x14ac:dyDescent="0.25">
      <c r="O76" s="5">
        <v>15</v>
      </c>
      <c r="P76" s="2" t="s">
        <v>83</v>
      </c>
      <c r="Q76" s="1">
        <f>SUM(Q58,Q67,Q74,Q75)</f>
        <v>3460</v>
      </c>
      <c r="R76" s="1">
        <f t="shared" ref="R76:W76" si="34">SUM(R58,R67,R74,R75)</f>
        <v>908</v>
      </c>
      <c r="S76" s="1">
        <f t="shared" si="34"/>
        <v>1208</v>
      </c>
      <c r="T76" s="1">
        <f t="shared" si="34"/>
        <v>508</v>
      </c>
      <c r="U76" s="1">
        <f t="shared" si="34"/>
        <v>808</v>
      </c>
      <c r="V76" s="1">
        <f t="shared" si="34"/>
        <v>4358</v>
      </c>
      <c r="W76" s="1">
        <f t="shared" si="34"/>
        <v>4358</v>
      </c>
      <c r="X76" s="2" t="s">
        <v>94</v>
      </c>
    </row>
    <row r="77" spans="15:24" ht="30" x14ac:dyDescent="0.25">
      <c r="O77" s="5">
        <v>16</v>
      </c>
      <c r="P77" s="2" t="s">
        <v>84</v>
      </c>
      <c r="Q77" s="1">
        <f>1/(1+$K$10/100)^Q51</f>
        <v>1</v>
      </c>
      <c r="R77" s="1">
        <f t="shared" ref="R77:W77" si="35">1/(1+$K$10/100)^R51</f>
        <v>0.89285714285714279</v>
      </c>
      <c r="S77" s="1">
        <f t="shared" si="35"/>
        <v>0.79719387755102034</v>
      </c>
      <c r="T77" s="1">
        <f t="shared" si="35"/>
        <v>0.71178024781341087</v>
      </c>
      <c r="U77" s="1">
        <f t="shared" si="35"/>
        <v>0.63551807840483121</v>
      </c>
      <c r="V77" s="1">
        <f t="shared" si="35"/>
        <v>0.56742685571859919</v>
      </c>
      <c r="W77" s="1">
        <f t="shared" si="35"/>
        <v>0.50663112117732068</v>
      </c>
      <c r="X77" s="1" t="s">
        <v>70</v>
      </c>
    </row>
    <row r="78" spans="15:24" ht="30" x14ac:dyDescent="0.25">
      <c r="O78" s="5">
        <v>17</v>
      </c>
      <c r="P78" s="2" t="s">
        <v>86</v>
      </c>
      <c r="Q78" s="1">
        <f>Q76*Q77</f>
        <v>3460</v>
      </c>
      <c r="R78" s="1">
        <f t="shared" ref="R78:W78" si="36">R76*R77</f>
        <v>810.71428571428567</v>
      </c>
      <c r="S78" s="1">
        <f t="shared" si="36"/>
        <v>963.01020408163254</v>
      </c>
      <c r="T78" s="1">
        <f t="shared" si="36"/>
        <v>361.58436588921273</v>
      </c>
      <c r="U78" s="1">
        <f t="shared" si="36"/>
        <v>513.4986073511036</v>
      </c>
      <c r="V78" s="1">
        <f t="shared" si="36"/>
        <v>2472.8462372216554</v>
      </c>
      <c r="W78" s="1">
        <f t="shared" si="36"/>
        <v>2207.8984260907637</v>
      </c>
      <c r="X78" s="1" t="s">
        <v>93</v>
      </c>
    </row>
    <row r="79" spans="15:24" ht="60" x14ac:dyDescent="0.25">
      <c r="O79" s="5">
        <v>18</v>
      </c>
      <c r="P79" s="2" t="s">
        <v>87</v>
      </c>
      <c r="Q79" s="1">
        <f>Q78</f>
        <v>3460</v>
      </c>
      <c r="R79" s="1">
        <f>Q79+R78</f>
        <v>4270.7142857142853</v>
      </c>
      <c r="S79" s="1">
        <f t="shared" ref="S79:W79" si="37">R79+S78</f>
        <v>5233.7244897959181</v>
      </c>
      <c r="T79" s="1">
        <f t="shared" si="37"/>
        <v>5595.3088556851308</v>
      </c>
      <c r="U79" s="1">
        <f t="shared" si="37"/>
        <v>6108.8074630362344</v>
      </c>
      <c r="V79" s="1">
        <f t="shared" si="37"/>
        <v>8581.6537002578898</v>
      </c>
      <c r="W79" s="1">
        <f t="shared" si="37"/>
        <v>10789.552126348653</v>
      </c>
      <c r="X79" s="1"/>
    </row>
  </sheetData>
  <mergeCells count="9">
    <mergeCell ref="O52:X52"/>
    <mergeCell ref="O59:X59"/>
    <mergeCell ref="O68:X68"/>
    <mergeCell ref="Q12:W12"/>
    <mergeCell ref="O14:X14"/>
    <mergeCell ref="O21:X21"/>
    <mergeCell ref="O11:X11"/>
    <mergeCell ref="O49:X49"/>
    <mergeCell ref="Q50:W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2026-03-11T20:01:36Z</dcterms:created>
  <dcterms:modified xsi:type="dcterms:W3CDTF">2026-03-13T21:14:07Z</dcterms:modified>
</cp:coreProperties>
</file>